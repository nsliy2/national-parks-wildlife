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nudara uni\fit3179\dv 2 material vegalite\"/>
    </mc:Choice>
  </mc:AlternateContent>
  <xr:revisionPtr revIDLastSave="0" documentId="8_{2CB55876-29A8-4629-B80E-A1F75516D291}" xr6:coauthVersionLast="47" xr6:coauthVersionMax="47" xr10:uidLastSave="{00000000-0000-0000-0000-000000000000}"/>
  <bookViews>
    <workbookView xWindow="-110" yWindow="-110" windowWidth="22780" windowHeight="14540" xr2:uid="{CFD6E318-24ED-475C-A7F3-4E7F79773E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</calcChain>
</file>

<file path=xl/sharedStrings.xml><?xml version="1.0" encoding="utf-8"?>
<sst xmlns="http://schemas.openxmlformats.org/spreadsheetml/2006/main" count="14" uniqueCount="14">
  <si>
    <t>Western Australia</t>
  </si>
  <si>
    <t>Victoria</t>
  </si>
  <si>
    <t>Tasmania</t>
  </si>
  <si>
    <t>South Australia</t>
  </si>
  <si>
    <t>Queensland</t>
  </si>
  <si>
    <t>Northern Territory</t>
  </si>
  <si>
    <t>New South Wales</t>
  </si>
  <si>
    <t>Australian Capital Territory</t>
  </si>
  <si>
    <t>state</t>
  </si>
  <si>
    <t>state_area_ha</t>
  </si>
  <si>
    <t>protected_area_count</t>
  </si>
  <si>
    <t>percent_protected</t>
  </si>
  <si>
    <t>percent_of_national_total</t>
  </si>
  <si>
    <t>protected_area_ha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</si>
</sst>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1" fontId="1" fillId="2" borderId="1" xfId="0" applyNumberFormat="1" applyFont="1" applyFill="1" applyBorder="1"/>
    <xf numFmtId="0" fontId="1" fillId="0" borderId="1" xfId="0" applyFont="1" applyBorder="1"/>
    <xf numFmtId="1" fontId="1" fillId="0" borderId="1" xfId="0" applyNumberFormat="1" applyFont="1" applyBorder="1"/>
    <xf numFmtId="0" fontId="1" fillId="0" borderId="3" xfId="0" applyFont="1" applyBorder="1"/>
    <xf numFmtId="1" fontId="1" fillId="0" borderId="3" xfId="0" applyNumberFormat="1" applyFont="1" applyBorder="1"/>
    <xf numFmtId="0" fontId="2" fillId="0" borderId="0" xfId="0" applyFont="1" applyAlignment="1">
      <alignment horizontal="left" vertical="center" inden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2" fontId="2" fillId="0" borderId="0" xfId="0" applyNumberFormat="1" applyFont="1" applyAlignment="1">
      <alignment horizontal="left" vertical="center" indent="1"/>
    </xf>
    <xf numFmtId="2" fontId="0" fillId="2" borderId="2" xfId="0" applyNumberFormat="1" applyFont="1" applyFill="1" applyBorder="1"/>
    <xf numFmtId="2" fontId="1" fillId="0" borderId="1" xfId="0" applyNumberFormat="1" applyFont="1" applyBorder="1"/>
    <xf numFmtId="2" fontId="1" fillId="2" borderId="1" xfId="0" applyNumberFormat="1" applyFont="1" applyFill="1" applyBorder="1"/>
    <xf numFmtId="2" fontId="1" fillId="0" borderId="3" xfId="0" applyNumberFormat="1" applyFont="1" applyBorder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BE497-C5B3-4CD0-B866-0E052DD50479}">
  <dimension ref="A1:F25"/>
  <sheetViews>
    <sheetView tabSelected="1" workbookViewId="0">
      <selection activeCell="E22" sqref="E22"/>
    </sheetView>
  </sheetViews>
  <sheetFormatPr defaultRowHeight="14.5"/>
  <cols>
    <col min="1" max="1" width="21.7265625" customWidth="1"/>
    <col min="2" max="2" width="17.7265625" customWidth="1"/>
    <col min="3" max="3" width="20.7265625" customWidth="1"/>
    <col min="4" max="4" width="22.453125" customWidth="1"/>
    <col min="5" max="5" width="17.90625" style="15" customWidth="1"/>
    <col min="6" max="6" width="22.7265625" style="15" customWidth="1"/>
  </cols>
  <sheetData>
    <row r="1" spans="1:6">
      <c r="A1" t="s">
        <v>8</v>
      </c>
      <c r="B1" s="7" t="s">
        <v>9</v>
      </c>
      <c r="C1" s="7" t="s">
        <v>10</v>
      </c>
      <c r="D1" s="9" t="s">
        <v>13</v>
      </c>
      <c r="E1" s="10" t="s">
        <v>11</v>
      </c>
      <c r="F1" s="10" t="s">
        <v>12</v>
      </c>
    </row>
    <row r="2" spans="1:6">
      <c r="A2" s="1" t="s">
        <v>7</v>
      </c>
      <c r="B2" s="2">
        <v>235814.8530815978</v>
      </c>
      <c r="C2" s="2">
        <v>51</v>
      </c>
      <c r="D2" s="2">
        <v>131902.36786778361</v>
      </c>
      <c r="E2" s="11">
        <f>D2/B2*100</f>
        <v>55.934715792538356</v>
      </c>
      <c r="F2" s="13">
        <v>7.6009467244148254E-2</v>
      </c>
    </row>
    <row r="3" spans="1:6">
      <c r="A3" s="3" t="s">
        <v>6</v>
      </c>
      <c r="B3" s="4">
        <v>80115006.5110192</v>
      </c>
      <c r="C3" s="4">
        <v>2657</v>
      </c>
      <c r="D3" s="4">
        <v>8365055.8196557136</v>
      </c>
      <c r="E3" s="12">
        <f>D3/B3*100</f>
        <v>10.441309542307987</v>
      </c>
      <c r="F3" s="12">
        <v>4.8204097747802734</v>
      </c>
    </row>
    <row r="4" spans="1:6">
      <c r="A4" s="1" t="s">
        <v>5</v>
      </c>
      <c r="B4" s="2">
        <v>134779162.69050989</v>
      </c>
      <c r="C4" s="2">
        <v>84</v>
      </c>
      <c r="D4" s="2">
        <v>33208737.997514822</v>
      </c>
      <c r="E4" s="13">
        <f>D4/B4*100</f>
        <v>24.639371053054575</v>
      </c>
      <c r="F4" s="13">
        <v>19.13671875</v>
      </c>
    </row>
    <row r="5" spans="1:6">
      <c r="A5" s="3" t="s">
        <v>4</v>
      </c>
      <c r="B5" s="4">
        <v>172974215.2563473</v>
      </c>
      <c r="C5" s="4">
        <v>1230</v>
      </c>
      <c r="D5" s="4">
        <v>16183152.68197991</v>
      </c>
      <c r="E5" s="12">
        <f>D5/B5*100</f>
        <v>9.3558179512458111</v>
      </c>
      <c r="F5" s="12">
        <v>9.3256311416625977</v>
      </c>
    </row>
    <row r="6" spans="1:6">
      <c r="A6" s="1" t="s">
        <v>3</v>
      </c>
      <c r="B6" s="2">
        <v>98432191.357677758</v>
      </c>
      <c r="C6" s="2">
        <v>2085</v>
      </c>
      <c r="D6" s="2">
        <v>29963518.484946579</v>
      </c>
      <c r="E6" s="13">
        <f>D6/B6*100</f>
        <v>30.440771531811894</v>
      </c>
      <c r="F6" s="13">
        <v>17.266643524169918</v>
      </c>
    </row>
    <row r="7" spans="1:6">
      <c r="A7" s="3" t="s">
        <v>2</v>
      </c>
      <c r="B7" s="4">
        <v>6840139.3646279294</v>
      </c>
      <c r="C7" s="4">
        <v>1721</v>
      </c>
      <c r="D7" s="4">
        <v>2928054.7752682031</v>
      </c>
      <c r="E7" s="12">
        <f>D7/B7*100</f>
        <v>42.806946162674791</v>
      </c>
      <c r="F7" s="12">
        <v>1.687307715415955</v>
      </c>
    </row>
    <row r="8" spans="1:6">
      <c r="A8" s="1" t="s">
        <v>1</v>
      </c>
      <c r="B8" s="2">
        <v>22744373.104050372</v>
      </c>
      <c r="C8" s="2">
        <v>4709</v>
      </c>
      <c r="D8" s="2">
        <v>4023548.4218729199</v>
      </c>
      <c r="E8" s="13">
        <f>D8/B8*100</f>
        <v>17.690302579306515</v>
      </c>
      <c r="F8" s="13">
        <v>2.3185920715332031</v>
      </c>
    </row>
    <row r="9" spans="1:6" ht="15" thickBot="1">
      <c r="A9" s="5" t="s">
        <v>0</v>
      </c>
      <c r="B9" s="6">
        <v>252701298.390847</v>
      </c>
      <c r="C9" s="6">
        <v>1888</v>
      </c>
      <c r="D9" s="6">
        <v>78674218.901455879</v>
      </c>
      <c r="E9" s="14">
        <f>D9/B9*100</f>
        <v>31.133286375035702</v>
      </c>
      <c r="F9" s="14">
        <v>45.336452484130859</v>
      </c>
    </row>
    <row r="20" spans="1:2">
      <c r="A20" s="9"/>
    </row>
    <row r="21" spans="1:2">
      <c r="A21" s="8"/>
      <c r="B21" s="9"/>
    </row>
    <row r="22" spans="1:2">
      <c r="A22" s="8"/>
      <c r="B22" s="9"/>
    </row>
    <row r="23" spans="1:2">
      <c r="A23" s="8"/>
    </row>
    <row r="24" spans="1:2">
      <c r="A24" s="8"/>
      <c r="B24" s="9"/>
    </row>
    <row r="25" spans="1:2">
      <c r="A25" s="8"/>
      <c r="B25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Nudara Liyanage</dc:creator>
  <cp:lastModifiedBy>Nudara Liyanage</cp:lastModifiedBy>
  <dcterms:created xsi:type="dcterms:W3CDTF">2026-10-07T04:31:34Z</dcterms:created>
  <dcterms:modified xsi:type="dcterms:W3CDTF">2026-10-07T04:35:50Z</dcterms:modified>
</cp:coreProperties>
</file>